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00c02570e2fe67/Desktop/VCI/Families/Helm Family/6-16-2026 PCR/"/>
    </mc:Choice>
  </mc:AlternateContent>
  <xr:revisionPtr revIDLastSave="10" documentId="8_{B7DEDF6B-A838-4FB2-BD98-578E180C2EA7}" xr6:coauthVersionLast="47" xr6:coauthVersionMax="47" xr10:uidLastSave="{E5ADEBD3-002F-4EF8-9899-7DE455B3DDFA}"/>
  <bookViews>
    <workbookView xWindow="-90" yWindow="0" windowWidth="12980" windowHeight="15370" activeTab="1" xr2:uid="{00000000-000D-0000-FFFF-FFFF00000000}"/>
  </bookViews>
  <sheets>
    <sheet name="Version 1" sheetId="1" r:id="rId1"/>
    <sheet name="Version 2" sheetId="4" r:id="rId2"/>
  </sheets>
  <definedNames>
    <definedName name="_xlnm.Print_Area" localSheetId="0">'Version 1'!$A$1:$D$82</definedName>
    <definedName name="_xlnm.Print_Area" localSheetId="1">'Version 2'!$A$1:$D$57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4" l="1"/>
  <c r="A34" i="4"/>
  <c r="A35" i="4"/>
  <c r="A42" i="4"/>
  <c r="A43" i="4"/>
  <c r="A44" i="4"/>
  <c r="A45" i="4"/>
  <c r="A41" i="4"/>
  <c r="A39" i="4" l="1"/>
  <c r="A23" i="4"/>
  <c r="A24" i="4"/>
  <c r="A25" i="4"/>
  <c r="A26" i="4"/>
  <c r="A27" i="4"/>
  <c r="A28" i="4"/>
  <c r="A29" i="4"/>
  <c r="A30" i="4"/>
  <c r="A31" i="4"/>
  <c r="A32" i="4"/>
  <c r="A36" i="4"/>
  <c r="A37" i="4"/>
  <c r="A38" i="4"/>
  <c r="A40" i="4"/>
  <c r="A34" i="1"/>
  <c r="A24" i="1"/>
  <c r="A25" i="1"/>
  <c r="A26" i="1"/>
  <c r="A27" i="1"/>
  <c r="A28" i="1"/>
  <c r="A29" i="1"/>
  <c r="A30" i="1"/>
  <c r="A31" i="1"/>
  <c r="A32" i="1"/>
  <c r="A33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23" i="1"/>
  <c r="D54" i="4"/>
  <c r="D57" i="4" s="1"/>
  <c r="D79" i="1"/>
  <c r="D82" i="1" s="1"/>
</calcChain>
</file>

<file path=xl/sharedStrings.xml><?xml version="1.0" encoding="utf-8"?>
<sst xmlns="http://schemas.openxmlformats.org/spreadsheetml/2006/main" count="118" uniqueCount="84">
  <si>
    <t>VCI Companies Initial Plan Change Request/High Level Estimate</t>
  </si>
  <si>
    <t>Sales Rep:</t>
  </si>
  <si>
    <t>Jon Wolf</t>
  </si>
  <si>
    <t>Customer Name:</t>
  </si>
  <si>
    <t>Melissa &amp; Joseph Helm III</t>
  </si>
  <si>
    <t>Phone:</t>
  </si>
  <si>
    <t>262-327-0562</t>
  </si>
  <si>
    <t>Email:</t>
  </si>
  <si>
    <t>Melissahelm2@gmail.com , JoeHelmmd@gmail.com</t>
  </si>
  <si>
    <t>Subdivision/Lot:</t>
  </si>
  <si>
    <t>Quietwood Lot 2</t>
  </si>
  <si>
    <t>Lot Owned Y/N:</t>
  </si>
  <si>
    <t>VLOTP</t>
  </si>
  <si>
    <t>Model/Custom:</t>
  </si>
  <si>
    <t xml:space="preserve">Augusta </t>
  </si>
  <si>
    <t>Plan/Review:</t>
  </si>
  <si>
    <t>Plan</t>
  </si>
  <si>
    <t>Date Requested:</t>
  </si>
  <si>
    <t>Priority Level:</t>
  </si>
  <si>
    <t>Changes From Meeting On:</t>
  </si>
  <si>
    <t>Sewer/Water:</t>
  </si>
  <si>
    <t>Lamp Post:</t>
  </si>
  <si>
    <r>
      <t xml:space="preserve">Estimated Price:  </t>
    </r>
    <r>
      <rPr>
        <i/>
        <sz val="10"/>
        <color rgb="FFFF0000"/>
        <rFont val="Arial"/>
        <family val="2"/>
      </rPr>
      <t>(Enter Price of Home or Approx. Estimated Starting Price if Custom)</t>
    </r>
  </si>
  <si>
    <t>Change Number</t>
  </si>
  <si>
    <t>Description</t>
  </si>
  <si>
    <t>Structural / Interior Changes</t>
  </si>
  <si>
    <t>Reminder: Check min sq.ft., roof pitch/ materials, % of masonry &amp; setback/HOL restrictions</t>
  </si>
  <si>
    <t xml:space="preserve">General Notes: Please see attached client inspiration photos. RLP is based off HOL done by Eric W an extended courtyard style garage. Rest of home is still base plan </t>
  </si>
  <si>
    <t>Adjust plan to courtyard style entry per lot restrictions</t>
  </si>
  <si>
    <t>Add approx 220' to garage, due to CYE</t>
  </si>
  <si>
    <t>Add Primed Waiscot Paneling to Dining Room</t>
  </si>
  <si>
    <t>Change pantry to WIC, move drop zone, Lockers with Doors and shoe storange (4 lockers)</t>
  </si>
  <si>
    <t>Change Pedistal in Powder bth to Vanity</t>
  </si>
  <si>
    <t>Add fullsize Window to end of hallway</t>
  </si>
  <si>
    <t>Change laundry room to walkthrough pantry w 3 windows, upper and lower cabinets.</t>
  </si>
  <si>
    <t>Square off rear off home, to include larger dinette with 10 person table &amp; hearth room on back right side of home</t>
  </si>
  <si>
    <t>Kitchen Cabinet Upgrade allowance, Cabinets to be Celing height</t>
  </si>
  <si>
    <t>Upgrade to raw white oak open wall, mill made stairs, treads, risers, and stringers</t>
  </si>
  <si>
    <t>Add additional dishwaser to island next to sink</t>
  </si>
  <si>
    <t>Shift Front of home back to allow garage to get smaller in size, 18' garage door and 9' garage door</t>
  </si>
  <si>
    <t>credit 3 season room</t>
  </si>
  <si>
    <t>Change to front dbl door with 3/4 glass</t>
  </si>
  <si>
    <t>Add raw T&amp;G ceiling at front entry</t>
  </si>
  <si>
    <t>Coat closet in foyer next to stair case</t>
  </si>
  <si>
    <t>Keep Double door into office off foyer widen office and master bedroom wall if needed, keep wic bump out</t>
  </si>
  <si>
    <t>add built in Bookshelves to wall facing Master WIC,</t>
  </si>
  <si>
    <t>add Fireplace like Sister Bay Model Plan Number 22206-1 to Front Office/Library wall, add built in benches with storage underneath next to fireplace</t>
  </si>
  <si>
    <t xml:space="preserve">Master Hall Entrance next to stairs </t>
  </si>
  <si>
    <t>Add Under Cabinet Lighting allowance</t>
  </si>
  <si>
    <t>add stacking washer/dryer to master WIC</t>
  </si>
  <si>
    <t>Shift Fireplace to center on wall  - Great Room Ceiling detail to match fireplace wall and great room dimensions</t>
  </si>
  <si>
    <t>Add full tile shower to master bath including floor, frameless door.</t>
  </si>
  <si>
    <t>Add built in lower cabinets next to great room fireplace</t>
  </si>
  <si>
    <t xml:space="preserve">change fireplace stone up to  full wrap around mantel, no hearth </t>
  </si>
  <si>
    <t>OPTION to upgrade to 8' Tall Doors Main Level Only</t>
  </si>
  <si>
    <t>9' Ceiling Height upstairs</t>
  </si>
  <si>
    <t>Add Windows To Top Row Of Both Garage Doors</t>
  </si>
  <si>
    <t>Add Wood Flooring Allowance for Great Room</t>
  </si>
  <si>
    <t>Credit carpeting</t>
  </si>
  <si>
    <t>Remove 2 windows in Master Bedroom</t>
  </si>
  <si>
    <t>Add Bonus rm/Bedroom above garage</t>
  </si>
  <si>
    <t>Upper Full Laundry RM W Sink, Cabinets, Counters, tile floors</t>
  </si>
  <si>
    <t>BR #4 to have more of a Master BR &amp; Shower Module with Glass sliding door</t>
  </si>
  <si>
    <t>Upgrade to (2) Variable Speed Two Stage Furnaces</t>
  </si>
  <si>
    <t>Add Sport Court to Basement (would like it to be 48' x 25' with a 20' Height) Under Kitchen/Dinette</t>
  </si>
  <si>
    <t>Finishing of remainder of Lower Level</t>
  </si>
  <si>
    <t>Add secret entry door to office in basement (bookshelf or panel entry)</t>
  </si>
  <si>
    <t xml:space="preserve">Composite Deck off rear of home (dinette / Hearth room) approx 250sq ft </t>
  </si>
  <si>
    <t>Additional Plumbing Allowance for misc</t>
  </si>
  <si>
    <t>Additional Electrical Allowance for misc</t>
  </si>
  <si>
    <t>(cont to # accordingly)</t>
  </si>
  <si>
    <t xml:space="preserve">Exterior Changes </t>
  </si>
  <si>
    <t xml:space="preserve">Estimating Only Changes </t>
  </si>
  <si>
    <t>Estimated Cost of Home and Options</t>
  </si>
  <si>
    <t>Estimated Lot Cost:</t>
  </si>
  <si>
    <t>Estimated Site Improvement Allowances:</t>
  </si>
  <si>
    <t>Estimated Project Cost:</t>
  </si>
  <si>
    <t>General Notes: Please see attached client inspiration photos. RPL is based  on most Recent Helm Plan Per Eric S #22603-4</t>
  </si>
  <si>
    <t>Helm - Custom</t>
  </si>
  <si>
    <t>Remove Built ins next to fireplace in Library</t>
  </si>
  <si>
    <t xml:space="preserve">Remove Upper Cabinets In Laundry Room. </t>
  </si>
  <si>
    <t>Remove Lower Cabinets under Folding table in Laundry Room, Leave Folding table. Space under folding table open for Laundry Baskets</t>
  </si>
  <si>
    <t>Plan RLP #8</t>
  </si>
  <si>
    <t>Add Raised Hearth to Fireplace in Library if not their already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</si>
</sst>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i/>
      <u/>
      <sz val="10"/>
      <name val="Arial"/>
      <family val="2"/>
    </font>
    <font>
      <b/>
      <i/>
      <u/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rgb="FFFF0000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u/>
      <sz val="10"/>
      <color theme="1"/>
      <name val="Arial"/>
      <family val="2"/>
    </font>
    <font>
      <b/>
      <i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3">
    <xf numFmtId="0" fontId="0" fillId="0" borderId="0" xfId="0"/>
    <xf numFmtId="8" fontId="1" fillId="0" borderId="0" xfId="0" applyNumberFormat="1" applyFont="1" applyAlignment="1">
      <alignment horizontal="right" vertical="center"/>
    </xf>
    <xf numFmtId="8" fontId="0" fillId="0" borderId="0" xfId="0" applyNumberFormat="1" applyAlignment="1">
      <alignment horizontal="right"/>
    </xf>
    <xf numFmtId="8" fontId="0" fillId="2" borderId="1" xfId="0" applyNumberFormat="1" applyFill="1" applyBorder="1" applyAlignment="1">
      <alignment horizontal="right"/>
    </xf>
    <xf numFmtId="0" fontId="3" fillId="0" borderId="2" xfId="0" applyFont="1" applyBorder="1"/>
    <xf numFmtId="0" fontId="3" fillId="0" borderId="0" xfId="0" applyFont="1"/>
    <xf numFmtId="8" fontId="0" fillId="0" borderId="3" xfId="0" applyNumberFormat="1" applyBorder="1" applyAlignment="1">
      <alignment horizontal="right"/>
    </xf>
    <xf numFmtId="0" fontId="2" fillId="0" borderId="13" xfId="0" applyFont="1" applyBorder="1"/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/>
    <xf numFmtId="0" fontId="2" fillId="0" borderId="17" xfId="0" applyFont="1" applyBorder="1"/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18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8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8" fontId="3" fillId="0" borderId="1" xfId="0" applyNumberFormat="1" applyFont="1" applyBorder="1" applyAlignment="1">
      <alignment horizontal="right"/>
    </xf>
    <xf numFmtId="8" fontId="3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9" fillId="0" borderId="1" xfId="0" applyFont="1" applyBorder="1"/>
    <xf numFmtId="8" fontId="9" fillId="0" borderId="1" xfId="0" applyNumberFormat="1" applyFont="1" applyBorder="1" applyAlignment="1">
      <alignment horizontal="right"/>
    </xf>
    <xf numFmtId="0" fontId="2" fillId="0" borderId="1" xfId="0" applyFont="1" applyBorder="1"/>
    <xf numFmtId="8" fontId="9" fillId="2" borderId="1" xfId="0" applyNumberFormat="1" applyFont="1" applyFill="1" applyBorder="1" applyAlignment="1">
      <alignment horizontal="right"/>
    </xf>
    <xf numFmtId="8" fontId="3" fillId="2" borderId="21" xfId="0" applyNumberFormat="1" applyFont="1" applyFill="1" applyBorder="1" applyAlignment="1">
      <alignment horizontal="right"/>
    </xf>
    <xf numFmtId="0" fontId="11" fillId="0" borderId="22" xfId="0" applyFont="1" applyBorder="1" applyAlignment="1">
      <alignment horizont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2" xfId="0" applyFont="1" applyBorder="1"/>
    <xf numFmtId="0" fontId="14" fillId="0" borderId="0" xfId="0" applyFont="1"/>
    <xf numFmtId="0" fontId="15" fillId="0" borderId="14" xfId="0" applyFont="1" applyBorder="1"/>
    <xf numFmtId="0" fontId="15" fillId="0" borderId="17" xfId="0" applyFont="1" applyBorder="1"/>
    <xf numFmtId="8" fontId="17" fillId="0" borderId="0" xfId="0" applyNumberFormat="1" applyFont="1" applyAlignment="1">
      <alignment horizontal="right" vertical="center"/>
    </xf>
    <xf numFmtId="0" fontId="15" fillId="0" borderId="13" xfId="0" applyFont="1" applyBorder="1"/>
    <xf numFmtId="0" fontId="15" fillId="0" borderId="2" xfId="0" applyFont="1" applyBorder="1"/>
    <xf numFmtId="0" fontId="15" fillId="0" borderId="13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3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15" xfId="0" applyFont="1" applyBorder="1"/>
    <xf numFmtId="0" fontId="15" fillId="0" borderId="18" xfId="0" applyFont="1" applyBorder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8" fontId="14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8" fontId="14" fillId="2" borderId="1" xfId="0" applyNumberFormat="1" applyFont="1" applyFill="1" applyBorder="1" applyAlignment="1">
      <alignment horizontal="right"/>
    </xf>
    <xf numFmtId="0" fontId="14" fillId="0" borderId="20" xfId="0" applyFont="1" applyBorder="1" applyAlignment="1">
      <alignment horizontal="center" vertical="center" wrapText="1"/>
    </xf>
    <xf numFmtId="8" fontId="14" fillId="2" borderId="21" xfId="0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16" fillId="0" borderId="9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/>
    </xf>
    <xf numFmtId="0" fontId="4" fillId="0" borderId="5" xfId="1" applyBorder="1" applyAlignment="1">
      <alignment horizontal="left" vertical="center"/>
    </xf>
    <xf numFmtId="0" fontId="4" fillId="0" borderId="4" xfId="1" applyBorder="1" applyAlignment="1">
      <alignment horizontal="left" vertical="center"/>
    </xf>
    <xf numFmtId="0" fontId="15" fillId="0" borderId="10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14" fontId="16" fillId="0" borderId="5" xfId="0" applyNumberFormat="1" applyFont="1" applyBorder="1" applyAlignment="1">
      <alignment horizontal="left" vertical="center"/>
    </xf>
    <xf numFmtId="14" fontId="16" fillId="0" borderId="4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14" fontId="8" fillId="0" borderId="5" xfId="0" applyNumberFormat="1" applyFont="1" applyBorder="1" applyAlignment="1">
      <alignment horizontal="left" vertical="center"/>
    </xf>
    <xf numFmtId="14" fontId="8" fillId="0" borderId="4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190500</xdr:colOff>
      <xdr:row>21</xdr:row>
      <xdr:rowOff>0</xdr:rowOff>
    </xdr:to>
    <xdr:pic>
      <xdr:nvPicPr>
        <xdr:cNvPr id="3" name="Graphic 2" descr="Checkmark with solid fill">
          <a:extLst>
            <a:ext uri="{FF2B5EF4-FFF2-40B4-BE49-F238E27FC236}">
              <a16:creationId xmlns:a16="http://schemas.microsoft.com/office/drawing/2014/main" id="{E907A06C-D9DB-9BAB-E39C-609B87DBC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0150" y="3781425"/>
          <a:ext cx="1905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190500</xdr:colOff>
      <xdr:row>21</xdr:row>
      <xdr:rowOff>0</xdr:rowOff>
    </xdr:to>
    <xdr:pic>
      <xdr:nvPicPr>
        <xdr:cNvPr id="2" name="Graphic 1" descr="Checkmark with solid fill">
          <a:extLst>
            <a:ext uri="{FF2B5EF4-FFF2-40B4-BE49-F238E27FC236}">
              <a16:creationId xmlns:a16="http://schemas.microsoft.com/office/drawing/2014/main" id="{B94B2309-DB5C-4006-8C31-085BA5BF5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57300" y="3695700"/>
          <a:ext cx="1905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lissahelm2@gmail.com%20%20%20o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elissahelm2@gmail.com%20%20%20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2"/>
  <sheetViews>
    <sheetView topLeftCell="A81" zoomScaleNormal="100" workbookViewId="0">
      <selection activeCell="C30" sqref="C30"/>
    </sheetView>
  </sheetViews>
  <sheetFormatPr defaultRowHeight="15" customHeight="1" x14ac:dyDescent="0.35"/>
  <cols>
    <col min="1" max="1" width="18" customWidth="1"/>
    <col min="2" max="2" width="3" customWidth="1"/>
    <col min="3" max="3" width="77.54296875" customWidth="1"/>
    <col min="4" max="4" width="15.81640625" style="2" customWidth="1"/>
    <col min="5" max="12" width="13.26953125" customWidth="1"/>
    <col min="13" max="13" width="11.54296875" customWidth="1"/>
  </cols>
  <sheetData>
    <row r="1" spans="1:12" ht="15.5" x14ac:dyDescent="0.35">
      <c r="A1" s="90" t="s">
        <v>0</v>
      </c>
      <c r="B1" s="91"/>
      <c r="C1" s="92"/>
      <c r="D1" s="93"/>
    </row>
    <row r="2" spans="1:12" thickBot="1" x14ac:dyDescent="0.4">
      <c r="A2" s="4"/>
      <c r="B2" s="5"/>
      <c r="C2" s="5"/>
      <c r="D2" s="6"/>
    </row>
    <row r="3" spans="1:12" ht="14.5" x14ac:dyDescent="0.35">
      <c r="A3" s="10" t="s">
        <v>1</v>
      </c>
      <c r="B3" s="12"/>
      <c r="C3" s="94" t="s">
        <v>2</v>
      </c>
      <c r="D3" s="95"/>
      <c r="L3" s="1"/>
    </row>
    <row r="4" spans="1:12" ht="14.5" x14ac:dyDescent="0.35">
      <c r="A4" s="7" t="s">
        <v>3</v>
      </c>
      <c r="B4" s="13"/>
      <c r="C4" s="96" t="s">
        <v>4</v>
      </c>
      <c r="D4" s="97"/>
    </row>
    <row r="5" spans="1:12" ht="14.5" x14ac:dyDescent="0.35">
      <c r="A5" s="7" t="s">
        <v>5</v>
      </c>
      <c r="B5" s="13"/>
      <c r="C5" s="69" t="s">
        <v>6</v>
      </c>
      <c r="D5" s="98"/>
    </row>
    <row r="6" spans="1:12" ht="14.5" x14ac:dyDescent="0.35">
      <c r="A6" s="7" t="s">
        <v>7</v>
      </c>
      <c r="B6" s="13"/>
      <c r="C6" s="80" t="s">
        <v>8</v>
      </c>
      <c r="D6" s="81"/>
    </row>
    <row r="7" spans="1:12" ht="14.5" x14ac:dyDescent="0.35">
      <c r="A7" s="7" t="s">
        <v>9</v>
      </c>
      <c r="B7" s="13"/>
      <c r="C7" s="69" t="s">
        <v>10</v>
      </c>
      <c r="D7" s="98"/>
    </row>
    <row r="8" spans="1:12" ht="14.5" x14ac:dyDescent="0.35">
      <c r="A8" s="7" t="s">
        <v>11</v>
      </c>
      <c r="B8" s="13"/>
      <c r="C8" s="69" t="s">
        <v>12</v>
      </c>
      <c r="D8" s="98"/>
    </row>
    <row r="9" spans="1:12" ht="14.5" x14ac:dyDescent="0.35">
      <c r="A9" s="7" t="s">
        <v>13</v>
      </c>
      <c r="B9" s="13"/>
      <c r="C9" s="69" t="s">
        <v>14</v>
      </c>
      <c r="D9" s="98"/>
    </row>
    <row r="10" spans="1:12" ht="14.5" x14ac:dyDescent="0.35">
      <c r="A10" s="7" t="s">
        <v>15</v>
      </c>
      <c r="B10" s="13"/>
      <c r="C10" s="69" t="s">
        <v>16</v>
      </c>
      <c r="D10" s="98"/>
    </row>
    <row r="11" spans="1:12" ht="14.5" x14ac:dyDescent="0.35">
      <c r="A11" s="7" t="s">
        <v>17</v>
      </c>
      <c r="B11" s="13"/>
      <c r="C11" s="99">
        <v>46078</v>
      </c>
      <c r="D11" s="100"/>
    </row>
    <row r="12" spans="1:12" ht="14.5" x14ac:dyDescent="0.35">
      <c r="A12" s="8" t="s">
        <v>18</v>
      </c>
      <c r="B12" s="14"/>
      <c r="C12" s="96"/>
      <c r="D12" s="97"/>
    </row>
    <row r="13" spans="1:12" ht="26.5" x14ac:dyDescent="0.35">
      <c r="A13" s="9" t="s">
        <v>19</v>
      </c>
      <c r="B13" s="15"/>
      <c r="C13" s="99"/>
      <c r="D13" s="100"/>
    </row>
    <row r="14" spans="1:12" ht="14.5" x14ac:dyDescent="0.35">
      <c r="A14" s="7" t="s">
        <v>20</v>
      </c>
      <c r="B14" s="13"/>
      <c r="C14" s="69"/>
      <c r="D14" s="98"/>
    </row>
    <row r="15" spans="1:12" thickBot="1" x14ac:dyDescent="0.4">
      <c r="A15" s="11" t="s">
        <v>21</v>
      </c>
      <c r="B15" s="16"/>
      <c r="C15" s="101"/>
      <c r="D15" s="102"/>
    </row>
    <row r="16" spans="1:12" ht="8.15" customHeight="1" thickBot="1" x14ac:dyDescent="0.4">
      <c r="A16" s="4"/>
      <c r="B16" s="5"/>
      <c r="C16" s="5"/>
      <c r="D16" s="6"/>
    </row>
    <row r="17" spans="1:4" ht="14.5" customHeight="1" x14ac:dyDescent="0.35">
      <c r="A17" s="87" t="s">
        <v>22</v>
      </c>
      <c r="B17" s="88"/>
      <c r="C17" s="89"/>
      <c r="D17" s="3">
        <v>976000</v>
      </c>
    </row>
    <row r="18" spans="1:4" ht="8.15" customHeight="1" x14ac:dyDescent="0.35">
      <c r="A18" s="4"/>
      <c r="B18" s="5"/>
      <c r="C18" s="5"/>
      <c r="D18" s="6"/>
    </row>
    <row r="19" spans="1:4" ht="14.5" x14ac:dyDescent="0.35">
      <c r="A19" s="20" t="s">
        <v>23</v>
      </c>
      <c r="B19" s="20"/>
      <c r="C19" s="21" t="s">
        <v>24</v>
      </c>
      <c r="D19" s="22"/>
    </row>
    <row r="20" spans="1:4" ht="14.5" x14ac:dyDescent="0.35">
      <c r="A20" s="20"/>
      <c r="B20" s="20"/>
      <c r="C20" s="23" t="s">
        <v>25</v>
      </c>
      <c r="D20" s="24"/>
    </row>
    <row r="21" spans="1:4" ht="15" customHeight="1" x14ac:dyDescent="0.35">
      <c r="A21" s="35"/>
      <c r="B21" s="35"/>
      <c r="C21" s="32" t="s">
        <v>26</v>
      </c>
      <c r="D21" s="24"/>
    </row>
    <row r="22" spans="1:4" ht="26" x14ac:dyDescent="0.35">
      <c r="A22" s="36"/>
      <c r="B22" s="36"/>
      <c r="C22" s="19" t="s">
        <v>27</v>
      </c>
      <c r="D22" s="25"/>
    </row>
    <row r="23" spans="1:4" ht="14.5" x14ac:dyDescent="0.35">
      <c r="A23" s="36">
        <f>ROW()-22</f>
        <v>1</v>
      </c>
      <c r="B23" s="37"/>
      <c r="C23" s="38" t="s">
        <v>28</v>
      </c>
      <c r="D23" s="31"/>
    </row>
    <row r="24" spans="1:4" ht="14.5" x14ac:dyDescent="0.35">
      <c r="A24" s="36">
        <f t="shared" ref="A24:A71" si="0">ROW()-22</f>
        <v>2</v>
      </c>
      <c r="B24" s="37"/>
      <c r="C24" s="38" t="s">
        <v>29</v>
      </c>
      <c r="D24" s="31">
        <v>18000</v>
      </c>
    </row>
    <row r="25" spans="1:4" ht="14.5" x14ac:dyDescent="0.35">
      <c r="A25" s="36">
        <f t="shared" si="0"/>
        <v>3</v>
      </c>
      <c r="B25" s="37"/>
      <c r="C25" s="38" t="s">
        <v>30</v>
      </c>
      <c r="D25" s="31">
        <v>2500</v>
      </c>
    </row>
    <row r="26" spans="1:4" ht="14.5" x14ac:dyDescent="0.35">
      <c r="A26" s="36">
        <f t="shared" si="0"/>
        <v>4</v>
      </c>
      <c r="B26" s="37"/>
      <c r="C26" s="38" t="s">
        <v>31</v>
      </c>
      <c r="D26" s="31">
        <v>2000</v>
      </c>
    </row>
    <row r="27" spans="1:4" ht="14.5" x14ac:dyDescent="0.35">
      <c r="A27" s="36">
        <f t="shared" si="0"/>
        <v>5</v>
      </c>
      <c r="B27" s="37"/>
      <c r="C27" s="33" t="s">
        <v>32</v>
      </c>
      <c r="D27" s="31">
        <v>4500</v>
      </c>
    </row>
    <row r="28" spans="1:4" ht="14.5" x14ac:dyDescent="0.35">
      <c r="A28" s="36">
        <f t="shared" si="0"/>
        <v>6</v>
      </c>
      <c r="B28" s="36"/>
      <c r="C28" s="33" t="s">
        <v>33</v>
      </c>
      <c r="D28" s="25">
        <v>1000</v>
      </c>
    </row>
    <row r="29" spans="1:4" ht="14.5" x14ac:dyDescent="0.35">
      <c r="A29" s="36">
        <f t="shared" si="0"/>
        <v>7</v>
      </c>
      <c r="B29" s="36"/>
      <c r="C29" s="34" t="s">
        <v>34</v>
      </c>
      <c r="D29" s="25">
        <v>25000</v>
      </c>
    </row>
    <row r="30" spans="1:4" ht="25" x14ac:dyDescent="0.35">
      <c r="A30" s="36">
        <f t="shared" si="0"/>
        <v>8</v>
      </c>
      <c r="B30" s="36"/>
      <c r="C30" s="34" t="s">
        <v>35</v>
      </c>
      <c r="D30" s="25">
        <v>55000</v>
      </c>
    </row>
    <row r="31" spans="1:4" ht="14.5" x14ac:dyDescent="0.35">
      <c r="A31" s="36">
        <f t="shared" si="0"/>
        <v>9</v>
      </c>
      <c r="B31" s="36"/>
      <c r="C31" s="34" t="s">
        <v>36</v>
      </c>
      <c r="D31" s="25">
        <v>55000</v>
      </c>
    </row>
    <row r="32" spans="1:4" ht="14.5" x14ac:dyDescent="0.35">
      <c r="A32" s="36">
        <f t="shared" si="0"/>
        <v>10</v>
      </c>
      <c r="B32" s="36"/>
      <c r="C32" s="34" t="s">
        <v>37</v>
      </c>
      <c r="D32" s="25">
        <v>10000</v>
      </c>
    </row>
    <row r="33" spans="1:4" ht="14.5" x14ac:dyDescent="0.35">
      <c r="A33" s="36">
        <f t="shared" si="0"/>
        <v>11</v>
      </c>
      <c r="B33" s="36"/>
      <c r="C33" s="34" t="s">
        <v>38</v>
      </c>
      <c r="D33" s="25">
        <v>2500</v>
      </c>
    </row>
    <row r="34" spans="1:4" ht="25" x14ac:dyDescent="0.35">
      <c r="A34" s="36">
        <f>ROW()-22</f>
        <v>12</v>
      </c>
      <c r="B34" s="36"/>
      <c r="C34" s="34" t="s">
        <v>39</v>
      </c>
      <c r="D34" s="25">
        <v>-5000</v>
      </c>
    </row>
    <row r="35" spans="1:4" ht="14.5" x14ac:dyDescent="0.35">
      <c r="A35" s="36">
        <f t="shared" si="0"/>
        <v>13</v>
      </c>
      <c r="B35" s="36"/>
      <c r="C35" s="34" t="s">
        <v>40</v>
      </c>
      <c r="D35" s="25">
        <v>-28000</v>
      </c>
    </row>
    <row r="36" spans="1:4" ht="14.5" x14ac:dyDescent="0.35">
      <c r="A36" s="36">
        <f t="shared" si="0"/>
        <v>14</v>
      </c>
      <c r="B36" s="36"/>
      <c r="C36" s="34" t="s">
        <v>41</v>
      </c>
      <c r="D36" s="25">
        <v>5000</v>
      </c>
    </row>
    <row r="37" spans="1:4" ht="14.5" x14ac:dyDescent="0.35">
      <c r="A37" s="36">
        <f t="shared" si="0"/>
        <v>15</v>
      </c>
      <c r="B37" s="36"/>
      <c r="C37" s="34" t="s">
        <v>42</v>
      </c>
      <c r="D37" s="25">
        <v>3000</v>
      </c>
    </row>
    <row r="38" spans="1:4" ht="14.5" x14ac:dyDescent="0.35">
      <c r="A38" s="36">
        <f t="shared" si="0"/>
        <v>16</v>
      </c>
      <c r="B38" s="36"/>
      <c r="C38" s="34" t="s">
        <v>43</v>
      </c>
      <c r="D38" s="25"/>
    </row>
    <row r="39" spans="1:4" ht="25" x14ac:dyDescent="0.35">
      <c r="A39" s="36">
        <f t="shared" si="0"/>
        <v>17</v>
      </c>
      <c r="B39" s="36"/>
      <c r="C39" s="34" t="s">
        <v>44</v>
      </c>
      <c r="D39" s="25"/>
    </row>
    <row r="40" spans="1:4" ht="14.5" x14ac:dyDescent="0.35">
      <c r="A40" s="36">
        <f t="shared" si="0"/>
        <v>18</v>
      </c>
      <c r="B40" s="36"/>
      <c r="C40" s="34" t="s">
        <v>45</v>
      </c>
      <c r="D40" s="25">
        <v>10000</v>
      </c>
    </row>
    <row r="41" spans="1:4" ht="25" x14ac:dyDescent="0.35">
      <c r="A41" s="36">
        <f t="shared" si="0"/>
        <v>19</v>
      </c>
      <c r="B41" s="36"/>
      <c r="C41" s="34" t="s">
        <v>46</v>
      </c>
      <c r="D41" s="25">
        <v>16000</v>
      </c>
    </row>
    <row r="42" spans="1:4" ht="14.5" x14ac:dyDescent="0.35">
      <c r="A42" s="36">
        <f t="shared" si="0"/>
        <v>20</v>
      </c>
      <c r="B42" s="36"/>
      <c r="C42" s="39" t="s">
        <v>47</v>
      </c>
      <c r="D42" s="25"/>
    </row>
    <row r="43" spans="1:4" ht="14.5" x14ac:dyDescent="0.35">
      <c r="A43" s="36">
        <f t="shared" si="0"/>
        <v>21</v>
      </c>
      <c r="B43" s="36"/>
      <c r="C43" s="39" t="s">
        <v>48</v>
      </c>
      <c r="D43" s="25">
        <v>2000</v>
      </c>
    </row>
    <row r="44" spans="1:4" ht="14.5" x14ac:dyDescent="0.35">
      <c r="A44" s="36">
        <f t="shared" si="0"/>
        <v>22</v>
      </c>
      <c r="B44" s="36"/>
      <c r="C44" s="34" t="s">
        <v>49</v>
      </c>
      <c r="D44" s="25">
        <v>3000</v>
      </c>
    </row>
    <row r="45" spans="1:4" ht="25" x14ac:dyDescent="0.35">
      <c r="A45" s="36">
        <f t="shared" si="0"/>
        <v>23</v>
      </c>
      <c r="B45" s="36"/>
      <c r="C45" s="34" t="s">
        <v>50</v>
      </c>
      <c r="D45" s="25"/>
    </row>
    <row r="46" spans="1:4" ht="14.5" x14ac:dyDescent="0.35">
      <c r="A46" s="36">
        <f t="shared" si="0"/>
        <v>24</v>
      </c>
      <c r="B46" s="36"/>
      <c r="C46" s="34" t="s">
        <v>51</v>
      </c>
      <c r="D46" s="25">
        <v>7500</v>
      </c>
    </row>
    <row r="47" spans="1:4" ht="14.5" x14ac:dyDescent="0.35">
      <c r="A47" s="36">
        <f t="shared" si="0"/>
        <v>25</v>
      </c>
      <c r="B47" s="36"/>
      <c r="C47" s="34" t="s">
        <v>52</v>
      </c>
      <c r="D47" s="25">
        <v>7500</v>
      </c>
    </row>
    <row r="48" spans="1:4" ht="14.5" x14ac:dyDescent="0.35">
      <c r="A48" s="36">
        <f t="shared" si="0"/>
        <v>26</v>
      </c>
      <c r="B48" s="36"/>
      <c r="C48" s="34" t="s">
        <v>53</v>
      </c>
      <c r="D48" s="25">
        <v>6000</v>
      </c>
    </row>
    <row r="49" spans="1:4" ht="14.5" x14ac:dyDescent="0.35">
      <c r="A49" s="36">
        <f t="shared" si="0"/>
        <v>27</v>
      </c>
      <c r="B49" s="36"/>
      <c r="C49" s="34" t="s">
        <v>54</v>
      </c>
      <c r="D49" s="25">
        <v>10000</v>
      </c>
    </row>
    <row r="50" spans="1:4" ht="14.5" x14ac:dyDescent="0.35">
      <c r="A50" s="36">
        <f t="shared" si="0"/>
        <v>28</v>
      </c>
      <c r="B50" s="36"/>
      <c r="C50" s="34" t="s">
        <v>55</v>
      </c>
      <c r="D50" s="25">
        <v>15000</v>
      </c>
    </row>
    <row r="51" spans="1:4" ht="14.5" x14ac:dyDescent="0.35">
      <c r="A51" s="36">
        <f t="shared" si="0"/>
        <v>29</v>
      </c>
      <c r="B51" s="36"/>
      <c r="C51" s="34" t="s">
        <v>56</v>
      </c>
      <c r="D51" s="25">
        <v>1500</v>
      </c>
    </row>
    <row r="52" spans="1:4" ht="14.5" x14ac:dyDescent="0.35">
      <c r="A52" s="36">
        <f t="shared" si="0"/>
        <v>30</v>
      </c>
      <c r="B52" s="36"/>
      <c r="C52" s="34" t="s">
        <v>57</v>
      </c>
      <c r="D52" s="25">
        <v>5000</v>
      </c>
    </row>
    <row r="53" spans="1:4" ht="14.5" x14ac:dyDescent="0.35">
      <c r="A53" s="36">
        <f t="shared" si="0"/>
        <v>31</v>
      </c>
      <c r="B53" s="36"/>
      <c r="C53" s="34" t="s">
        <v>58</v>
      </c>
      <c r="D53" s="25">
        <v>-1000</v>
      </c>
    </row>
    <row r="54" spans="1:4" ht="14.5" x14ac:dyDescent="0.35">
      <c r="A54" s="36">
        <f t="shared" si="0"/>
        <v>32</v>
      </c>
      <c r="B54" s="36"/>
      <c r="C54" s="34" t="s">
        <v>59</v>
      </c>
      <c r="D54" s="25">
        <v>-2000</v>
      </c>
    </row>
    <row r="55" spans="1:4" ht="14.5" x14ac:dyDescent="0.35">
      <c r="A55" s="36">
        <f t="shared" si="0"/>
        <v>33</v>
      </c>
      <c r="B55" s="36"/>
      <c r="C55" s="34"/>
      <c r="D55" s="25"/>
    </row>
    <row r="56" spans="1:4" ht="14.5" x14ac:dyDescent="0.35">
      <c r="A56" s="36">
        <f t="shared" si="0"/>
        <v>34</v>
      </c>
      <c r="B56" s="36"/>
      <c r="C56" s="34" t="s">
        <v>60</v>
      </c>
      <c r="D56" s="25">
        <v>30000</v>
      </c>
    </row>
    <row r="57" spans="1:4" ht="14.5" x14ac:dyDescent="0.35">
      <c r="A57" s="36">
        <f t="shared" si="0"/>
        <v>35</v>
      </c>
      <c r="B57" s="36"/>
      <c r="C57" s="34" t="s">
        <v>61</v>
      </c>
      <c r="D57" s="25">
        <v>5000</v>
      </c>
    </row>
    <row r="58" spans="1:4" ht="14.5" x14ac:dyDescent="0.35">
      <c r="A58" s="36">
        <f t="shared" si="0"/>
        <v>36</v>
      </c>
      <c r="B58" s="36"/>
      <c r="C58" s="34" t="s">
        <v>62</v>
      </c>
      <c r="D58" s="25">
        <v>5000</v>
      </c>
    </row>
    <row r="59" spans="1:4" ht="14.5" x14ac:dyDescent="0.35">
      <c r="A59" s="36">
        <f t="shared" si="0"/>
        <v>37</v>
      </c>
      <c r="B59" s="36"/>
      <c r="C59" s="34" t="s">
        <v>63</v>
      </c>
      <c r="D59" s="25">
        <v>1000</v>
      </c>
    </row>
    <row r="60" spans="1:4" ht="14.5" x14ac:dyDescent="0.35">
      <c r="A60" s="36">
        <f t="shared" si="0"/>
        <v>38</v>
      </c>
      <c r="B60" s="36"/>
      <c r="C60" s="34"/>
      <c r="D60" s="25"/>
    </row>
    <row r="61" spans="1:4" ht="14.5" x14ac:dyDescent="0.35">
      <c r="A61" s="36">
        <f t="shared" si="0"/>
        <v>39</v>
      </c>
      <c r="B61" s="36"/>
      <c r="D61" s="25"/>
    </row>
    <row r="62" spans="1:4" ht="25" x14ac:dyDescent="0.35">
      <c r="A62" s="36">
        <f t="shared" si="0"/>
        <v>40</v>
      </c>
      <c r="B62" s="36"/>
      <c r="C62" s="34" t="s">
        <v>64</v>
      </c>
      <c r="D62" s="25">
        <v>180000</v>
      </c>
    </row>
    <row r="63" spans="1:4" ht="14.5" x14ac:dyDescent="0.35">
      <c r="A63" s="36">
        <f t="shared" si="0"/>
        <v>41</v>
      </c>
      <c r="B63" s="36"/>
      <c r="C63" s="34" t="s">
        <v>65</v>
      </c>
      <c r="D63" s="25">
        <v>160000</v>
      </c>
    </row>
    <row r="64" spans="1:4" ht="14.5" x14ac:dyDescent="0.35">
      <c r="A64" s="36">
        <f t="shared" si="0"/>
        <v>42</v>
      </c>
      <c r="B64" s="36"/>
      <c r="C64" s="34" t="s">
        <v>66</v>
      </c>
      <c r="D64" s="25">
        <v>3000</v>
      </c>
    </row>
    <row r="65" spans="1:4" ht="14.5" x14ac:dyDescent="0.35">
      <c r="A65" s="36">
        <f t="shared" si="0"/>
        <v>43</v>
      </c>
      <c r="B65" s="36"/>
      <c r="C65" s="34"/>
      <c r="D65" s="25"/>
    </row>
    <row r="66" spans="1:4" ht="14.5" x14ac:dyDescent="0.35">
      <c r="A66" s="36">
        <f t="shared" si="0"/>
        <v>44</v>
      </c>
      <c r="B66" s="36"/>
      <c r="C66" s="34" t="s">
        <v>67</v>
      </c>
      <c r="D66" s="25">
        <v>37000</v>
      </c>
    </row>
    <row r="67" spans="1:4" ht="14.5" x14ac:dyDescent="0.35">
      <c r="A67" s="36">
        <f t="shared" si="0"/>
        <v>45</v>
      </c>
      <c r="B67" s="36"/>
      <c r="C67" s="34"/>
      <c r="D67" s="25"/>
    </row>
    <row r="68" spans="1:4" ht="14.5" x14ac:dyDescent="0.35">
      <c r="A68" s="36">
        <f t="shared" si="0"/>
        <v>46</v>
      </c>
      <c r="B68" s="36"/>
      <c r="C68" s="34" t="s">
        <v>68</v>
      </c>
      <c r="D68" s="25">
        <v>10000</v>
      </c>
    </row>
    <row r="69" spans="1:4" ht="14.5" x14ac:dyDescent="0.35">
      <c r="A69" s="36">
        <f t="shared" si="0"/>
        <v>47</v>
      </c>
      <c r="B69" s="36"/>
      <c r="C69" s="34" t="s">
        <v>69</v>
      </c>
      <c r="D69" s="25">
        <v>10000</v>
      </c>
    </row>
    <row r="70" spans="1:4" ht="14.5" x14ac:dyDescent="0.35">
      <c r="A70" s="36">
        <f t="shared" si="0"/>
        <v>48</v>
      </c>
      <c r="B70" s="36"/>
      <c r="C70" s="34"/>
      <c r="D70" s="25"/>
    </row>
    <row r="71" spans="1:4" ht="14.5" x14ac:dyDescent="0.35">
      <c r="A71" s="36">
        <f t="shared" si="0"/>
        <v>49</v>
      </c>
      <c r="B71" s="36"/>
      <c r="C71" s="34"/>
      <c r="D71" s="25"/>
    </row>
    <row r="72" spans="1:4" ht="14.5" x14ac:dyDescent="0.35">
      <c r="A72" s="17" t="s">
        <v>70</v>
      </c>
      <c r="B72" s="17"/>
      <c r="C72" s="18" t="s">
        <v>71</v>
      </c>
      <c r="D72" s="24"/>
    </row>
    <row r="73" spans="1:4" ht="14.5" x14ac:dyDescent="0.35">
      <c r="A73" s="17"/>
      <c r="B73" s="17"/>
      <c r="C73" s="18"/>
      <c r="D73" s="25"/>
    </row>
    <row r="74" spans="1:4" ht="14.5" x14ac:dyDescent="0.35">
      <c r="A74" s="17"/>
      <c r="B74" s="17"/>
      <c r="C74" s="19"/>
      <c r="D74" s="25"/>
    </row>
    <row r="75" spans="1:4" ht="14.5" x14ac:dyDescent="0.35">
      <c r="A75" s="17" t="s">
        <v>70</v>
      </c>
      <c r="B75" s="17"/>
      <c r="C75" s="18" t="s">
        <v>72</v>
      </c>
      <c r="D75" s="24"/>
    </row>
    <row r="76" spans="1:4" ht="14.5" x14ac:dyDescent="0.35">
      <c r="A76" s="17"/>
      <c r="B76" s="17"/>
      <c r="C76" s="18"/>
      <c r="D76" s="25"/>
    </row>
    <row r="77" spans="1:4" ht="14.5" x14ac:dyDescent="0.35">
      <c r="A77" s="17"/>
      <c r="B77" s="17"/>
      <c r="C77" s="19"/>
      <c r="D77" s="25"/>
    </row>
    <row r="78" spans="1:4" ht="14.5" x14ac:dyDescent="0.35">
      <c r="A78" s="26"/>
      <c r="B78" s="26"/>
      <c r="C78" s="26"/>
      <c r="D78" s="22"/>
    </row>
    <row r="79" spans="1:4" ht="14.5" x14ac:dyDescent="0.35">
      <c r="A79" s="27" t="s">
        <v>73</v>
      </c>
      <c r="B79" s="27"/>
      <c r="C79" s="27"/>
      <c r="D79" s="28">
        <f>SUM(D17:D77)</f>
        <v>1648000</v>
      </c>
    </row>
    <row r="80" spans="1:4" ht="14.5" customHeight="1" x14ac:dyDescent="0.35">
      <c r="A80" s="29" t="s">
        <v>74</v>
      </c>
      <c r="B80" s="29"/>
      <c r="C80" s="29"/>
      <c r="D80" s="30"/>
    </row>
    <row r="81" spans="1:4" ht="14.5" customHeight="1" x14ac:dyDescent="0.35">
      <c r="A81" s="29" t="s">
        <v>75</v>
      </c>
      <c r="B81" s="29"/>
      <c r="C81" s="29"/>
      <c r="D81" s="30"/>
    </row>
    <row r="82" spans="1:4" ht="14.5" customHeight="1" x14ac:dyDescent="0.35">
      <c r="A82" s="27" t="s">
        <v>76</v>
      </c>
      <c r="B82" s="27"/>
      <c r="C82" s="29"/>
      <c r="D82" s="28">
        <f>SUM(D79:D81)</f>
        <v>1648000</v>
      </c>
    </row>
  </sheetData>
  <mergeCells count="15">
    <mergeCell ref="A17:C17"/>
    <mergeCell ref="A1:D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hyperlinks>
    <hyperlink ref="C6" r:id="rId1" display="Melissahelm2@gmail.com   oe" xr:uid="{11F3591C-DFA0-4CE1-92D5-5DF3AC2F5359}"/>
  </hyperlinks>
  <pageMargins left="0.25" right="0.25" top="0.75" bottom="0.75" header="0.3" footer="0.3"/>
  <pageSetup scale="92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4274-AADD-4F03-B204-F1DCE3F257EE}">
  <sheetPr>
    <pageSetUpPr fitToPage="1"/>
  </sheetPr>
  <dimension ref="A1:L57"/>
  <sheetViews>
    <sheetView tabSelected="1" zoomScaleNormal="100" workbookViewId="0">
      <selection activeCell="C24" sqref="C24"/>
    </sheetView>
  </sheetViews>
  <sheetFormatPr defaultRowHeight="14.5" x14ac:dyDescent="0.35"/>
  <cols>
    <col min="1" max="1" width="18" customWidth="1"/>
    <col min="2" max="2" width="3" customWidth="1"/>
    <col min="3" max="3" width="77.54296875" customWidth="1"/>
    <col min="4" max="4" width="15.81640625" style="2" customWidth="1"/>
    <col min="5" max="12" width="13.26953125" customWidth="1"/>
    <col min="13" max="13" width="11.54296875" customWidth="1"/>
  </cols>
  <sheetData>
    <row r="1" spans="1:12" ht="15.5" x14ac:dyDescent="0.35">
      <c r="A1" s="71" t="s">
        <v>0</v>
      </c>
      <c r="B1" s="72"/>
      <c r="C1" s="73"/>
      <c r="D1" s="74"/>
    </row>
    <row r="2" spans="1:12" x14ac:dyDescent="0.35">
      <c r="A2" s="40"/>
      <c r="B2" s="41"/>
      <c r="C2" s="41"/>
      <c r="D2" s="6"/>
    </row>
    <row r="3" spans="1:12" x14ac:dyDescent="0.35">
      <c r="A3" s="42" t="s">
        <v>1</v>
      </c>
      <c r="B3" s="43"/>
      <c r="C3" s="75" t="s">
        <v>2</v>
      </c>
      <c r="D3" s="76"/>
      <c r="L3" s="44"/>
    </row>
    <row r="4" spans="1:12" x14ac:dyDescent="0.35">
      <c r="A4" s="45" t="s">
        <v>3</v>
      </c>
      <c r="B4" s="46"/>
      <c r="C4" s="77" t="s">
        <v>4</v>
      </c>
      <c r="D4" s="78"/>
    </row>
    <row r="5" spans="1:12" x14ac:dyDescent="0.35">
      <c r="A5" s="45" t="s">
        <v>5</v>
      </c>
      <c r="B5" s="46"/>
      <c r="C5" s="79" t="s">
        <v>6</v>
      </c>
      <c r="D5" s="70"/>
    </row>
    <row r="6" spans="1:12" x14ac:dyDescent="0.35">
      <c r="A6" s="45" t="s">
        <v>7</v>
      </c>
      <c r="B6" s="46"/>
      <c r="C6" s="80" t="s">
        <v>8</v>
      </c>
      <c r="D6" s="81"/>
    </row>
    <row r="7" spans="1:12" x14ac:dyDescent="0.35">
      <c r="A7" s="45" t="s">
        <v>9</v>
      </c>
      <c r="B7" s="46"/>
      <c r="C7" s="69" t="s">
        <v>10</v>
      </c>
      <c r="D7" s="70"/>
    </row>
    <row r="8" spans="1:12" x14ac:dyDescent="0.35">
      <c r="A8" s="45" t="s">
        <v>11</v>
      </c>
      <c r="B8" s="46"/>
      <c r="C8" s="79" t="s">
        <v>12</v>
      </c>
      <c r="D8" s="70"/>
    </row>
    <row r="9" spans="1:12" x14ac:dyDescent="0.35">
      <c r="A9" s="45" t="s">
        <v>13</v>
      </c>
      <c r="B9" s="46"/>
      <c r="C9" s="69" t="s">
        <v>78</v>
      </c>
      <c r="D9" s="70"/>
    </row>
    <row r="10" spans="1:12" x14ac:dyDescent="0.35">
      <c r="A10" s="45" t="s">
        <v>15</v>
      </c>
      <c r="B10" s="46"/>
      <c r="C10" s="69" t="s">
        <v>82</v>
      </c>
      <c r="D10" s="70"/>
    </row>
    <row r="11" spans="1:12" x14ac:dyDescent="0.35">
      <c r="A11" s="45" t="s">
        <v>17</v>
      </c>
      <c r="B11" s="46"/>
      <c r="C11" s="85">
        <v>46192</v>
      </c>
      <c r="D11" s="86"/>
    </row>
    <row r="12" spans="1:12" x14ac:dyDescent="0.35">
      <c r="A12" s="47" t="s">
        <v>18</v>
      </c>
      <c r="B12" s="48"/>
      <c r="C12" s="77"/>
      <c r="D12" s="78"/>
    </row>
    <row r="13" spans="1:12" ht="26.5" x14ac:dyDescent="0.35">
      <c r="A13" s="49" t="s">
        <v>19</v>
      </c>
      <c r="B13" s="50"/>
      <c r="C13" s="85">
        <v>46192</v>
      </c>
      <c r="D13" s="86"/>
    </row>
    <row r="14" spans="1:12" ht="15" thickBot="1" x14ac:dyDescent="0.4">
      <c r="A14" s="45" t="s">
        <v>20</v>
      </c>
      <c r="B14" s="46"/>
      <c r="C14" s="67"/>
      <c r="D14" s="68"/>
    </row>
    <row r="15" spans="1:12" ht="15" thickBot="1" x14ac:dyDescent="0.4">
      <c r="A15" s="51" t="s">
        <v>21</v>
      </c>
      <c r="B15" s="52"/>
      <c r="C15" s="67"/>
      <c r="D15" s="68"/>
    </row>
    <row r="16" spans="1:12" ht="15" thickBot="1" x14ac:dyDescent="0.4">
      <c r="A16" s="40"/>
      <c r="B16" s="41"/>
      <c r="C16" s="41"/>
      <c r="D16" s="6"/>
    </row>
    <row r="17" spans="1:4" ht="15" thickBot="1" x14ac:dyDescent="0.4">
      <c r="A17" s="82" t="s">
        <v>22</v>
      </c>
      <c r="B17" s="83"/>
      <c r="C17" s="84"/>
      <c r="D17" s="61"/>
    </row>
    <row r="18" spans="1:4" x14ac:dyDescent="0.35">
      <c r="A18" s="40"/>
      <c r="B18" s="41"/>
      <c r="C18" s="41"/>
      <c r="D18" s="61"/>
    </row>
    <row r="19" spans="1:4" x14ac:dyDescent="0.35">
      <c r="A19" s="53" t="s">
        <v>23</v>
      </c>
      <c r="B19" s="53"/>
      <c r="C19" s="54" t="s">
        <v>24</v>
      </c>
      <c r="D19" s="61"/>
    </row>
    <row r="20" spans="1:4" x14ac:dyDescent="0.35">
      <c r="A20" s="53"/>
      <c r="B20" s="53"/>
      <c r="C20" s="55" t="s">
        <v>25</v>
      </c>
      <c r="D20" s="61"/>
    </row>
    <row r="21" spans="1:4" x14ac:dyDescent="0.35">
      <c r="A21" s="57"/>
      <c r="B21" s="57"/>
      <c r="C21" s="58" t="s">
        <v>26</v>
      </c>
      <c r="D21" s="61"/>
    </row>
    <row r="22" spans="1:4" ht="26" x14ac:dyDescent="0.35">
      <c r="A22" s="59"/>
      <c r="B22" s="59"/>
      <c r="C22" s="19" t="s">
        <v>77</v>
      </c>
      <c r="D22" s="61"/>
    </row>
    <row r="23" spans="1:4" x14ac:dyDescent="0.35">
      <c r="A23" s="59">
        <f>ROW()-22</f>
        <v>1</v>
      </c>
      <c r="B23" s="62"/>
      <c r="C23" s="33" t="s">
        <v>79</v>
      </c>
      <c r="D23" s="63"/>
    </row>
    <row r="24" spans="1:4" x14ac:dyDescent="0.35">
      <c r="A24" s="59">
        <f t="shared" ref="A24:A45" si="0">ROW()-22</f>
        <v>2</v>
      </c>
      <c r="B24" s="62"/>
      <c r="C24" s="33" t="s">
        <v>83</v>
      </c>
      <c r="D24" s="63"/>
    </row>
    <row r="25" spans="1:4" x14ac:dyDescent="0.35">
      <c r="A25" s="59">
        <f t="shared" si="0"/>
        <v>3</v>
      </c>
      <c r="B25" s="59"/>
      <c r="C25" s="33" t="s">
        <v>80</v>
      </c>
      <c r="D25" s="61"/>
    </row>
    <row r="26" spans="1:4" ht="25" x14ac:dyDescent="0.35">
      <c r="A26" s="59">
        <f t="shared" si="0"/>
        <v>4</v>
      </c>
      <c r="B26" s="59"/>
      <c r="C26" s="33" t="s">
        <v>81</v>
      </c>
      <c r="D26" s="61"/>
    </row>
    <row r="27" spans="1:4" x14ac:dyDescent="0.35">
      <c r="A27" s="59">
        <f t="shared" si="0"/>
        <v>5</v>
      </c>
      <c r="B27" s="59"/>
      <c r="C27" s="33"/>
      <c r="D27" s="61"/>
    </row>
    <row r="28" spans="1:4" x14ac:dyDescent="0.35">
      <c r="A28" s="59">
        <f t="shared" si="0"/>
        <v>6</v>
      </c>
      <c r="B28" s="59"/>
      <c r="C28" s="33"/>
      <c r="D28" s="61"/>
    </row>
    <row r="29" spans="1:4" x14ac:dyDescent="0.35">
      <c r="A29" s="59">
        <f t="shared" si="0"/>
        <v>7</v>
      </c>
      <c r="B29" s="59"/>
      <c r="C29" s="33"/>
      <c r="D29" s="61"/>
    </row>
    <row r="30" spans="1:4" x14ac:dyDescent="0.35">
      <c r="A30" s="59">
        <f t="shared" si="0"/>
        <v>8</v>
      </c>
      <c r="B30" s="59"/>
      <c r="C30" s="33"/>
      <c r="D30" s="61"/>
    </row>
    <row r="31" spans="1:4" x14ac:dyDescent="0.35">
      <c r="A31" s="59">
        <f t="shared" si="0"/>
        <v>9</v>
      </c>
      <c r="B31" s="59"/>
      <c r="C31" s="33"/>
      <c r="D31" s="61"/>
    </row>
    <row r="32" spans="1:4" x14ac:dyDescent="0.35">
      <c r="A32" s="59">
        <f t="shared" si="0"/>
        <v>10</v>
      </c>
      <c r="B32" s="59"/>
      <c r="C32" s="33"/>
      <c r="D32" s="61"/>
    </row>
    <row r="33" spans="1:4" x14ac:dyDescent="0.35">
      <c r="A33" s="59">
        <f t="shared" si="0"/>
        <v>11</v>
      </c>
      <c r="B33" s="59"/>
      <c r="C33" s="33"/>
      <c r="D33" s="61"/>
    </row>
    <row r="34" spans="1:4" x14ac:dyDescent="0.35">
      <c r="A34" s="59">
        <f t="shared" si="0"/>
        <v>12</v>
      </c>
      <c r="B34" s="59"/>
      <c r="C34" s="33"/>
      <c r="D34" s="61"/>
    </row>
    <row r="35" spans="1:4" x14ac:dyDescent="0.35">
      <c r="A35" s="59">
        <f t="shared" si="0"/>
        <v>13</v>
      </c>
      <c r="B35" s="59"/>
      <c r="C35" s="33"/>
      <c r="D35" s="61"/>
    </row>
    <row r="36" spans="1:4" x14ac:dyDescent="0.35">
      <c r="A36" s="59">
        <f t="shared" si="0"/>
        <v>14</v>
      </c>
      <c r="B36" s="59"/>
      <c r="C36" s="33"/>
      <c r="D36" s="61"/>
    </row>
    <row r="37" spans="1:4" x14ac:dyDescent="0.35">
      <c r="A37" s="59">
        <f t="shared" si="0"/>
        <v>15</v>
      </c>
      <c r="B37" s="59"/>
      <c r="C37" s="34"/>
      <c r="D37" s="61"/>
    </row>
    <row r="38" spans="1:4" x14ac:dyDescent="0.35">
      <c r="A38" s="59">
        <f t="shared" si="0"/>
        <v>16</v>
      </c>
      <c r="B38" s="59"/>
      <c r="C38" s="34"/>
      <c r="D38" s="61"/>
    </row>
    <row r="39" spans="1:4" x14ac:dyDescent="0.35">
      <c r="A39" s="59">
        <f t="shared" si="0"/>
        <v>17</v>
      </c>
      <c r="B39" s="59"/>
      <c r="C39" s="34"/>
      <c r="D39" s="61"/>
    </row>
    <row r="40" spans="1:4" x14ac:dyDescent="0.35">
      <c r="A40" s="59">
        <f t="shared" si="0"/>
        <v>18</v>
      </c>
      <c r="B40" s="59"/>
      <c r="C40" s="34"/>
      <c r="D40" s="61"/>
    </row>
    <row r="41" spans="1:4" x14ac:dyDescent="0.35">
      <c r="A41" s="59">
        <f t="shared" si="0"/>
        <v>19</v>
      </c>
      <c r="B41" s="59"/>
      <c r="C41" s="34"/>
      <c r="D41" s="61"/>
    </row>
    <row r="42" spans="1:4" x14ac:dyDescent="0.35">
      <c r="A42" s="59">
        <f t="shared" si="0"/>
        <v>20</v>
      </c>
      <c r="B42" s="59"/>
      <c r="C42" s="34"/>
      <c r="D42" s="61"/>
    </row>
    <row r="43" spans="1:4" x14ac:dyDescent="0.35">
      <c r="A43" s="59">
        <f t="shared" si="0"/>
        <v>21</v>
      </c>
      <c r="B43" s="59"/>
      <c r="C43" s="34"/>
      <c r="D43" s="61"/>
    </row>
    <row r="44" spans="1:4" x14ac:dyDescent="0.35">
      <c r="A44" s="59">
        <f t="shared" si="0"/>
        <v>22</v>
      </c>
      <c r="B44" s="59"/>
      <c r="C44" s="34"/>
      <c r="D44" s="61"/>
    </row>
    <row r="45" spans="1:4" x14ac:dyDescent="0.35">
      <c r="A45" s="59">
        <f t="shared" si="0"/>
        <v>23</v>
      </c>
      <c r="B45" s="59"/>
      <c r="C45" s="34"/>
      <c r="D45" s="61"/>
    </row>
    <row r="46" spans="1:4" x14ac:dyDescent="0.35">
      <c r="A46" s="59"/>
      <c r="B46" s="59"/>
      <c r="C46" s="34"/>
      <c r="D46" s="61"/>
    </row>
    <row r="47" spans="1:4" x14ac:dyDescent="0.35">
      <c r="A47" s="64" t="s">
        <v>70</v>
      </c>
      <c r="B47" s="64"/>
      <c r="C47" s="65" t="s">
        <v>71</v>
      </c>
      <c r="D47" s="56"/>
    </row>
    <row r="48" spans="1:4" x14ac:dyDescent="0.35">
      <c r="A48" s="64"/>
      <c r="B48" s="64"/>
      <c r="C48" s="65"/>
      <c r="D48" s="61"/>
    </row>
    <row r="49" spans="1:4" x14ac:dyDescent="0.35">
      <c r="A49" s="64"/>
      <c r="B49" s="64"/>
      <c r="C49" s="60"/>
      <c r="D49" s="61"/>
    </row>
    <row r="50" spans="1:4" x14ac:dyDescent="0.35">
      <c r="A50" s="64" t="s">
        <v>70</v>
      </c>
      <c r="B50" s="64"/>
      <c r="C50" s="65" t="s">
        <v>72</v>
      </c>
      <c r="D50" s="56"/>
    </row>
    <row r="51" spans="1:4" x14ac:dyDescent="0.35">
      <c r="A51" s="64"/>
      <c r="B51" s="64"/>
      <c r="C51" s="65"/>
      <c r="D51" s="61"/>
    </row>
    <row r="52" spans="1:4" x14ac:dyDescent="0.35">
      <c r="A52" s="64"/>
      <c r="B52" s="64"/>
      <c r="C52" s="60"/>
      <c r="D52" s="61"/>
    </row>
    <row r="53" spans="1:4" x14ac:dyDescent="0.35">
      <c r="A53" s="26"/>
      <c r="B53" s="26"/>
      <c r="C53" s="26"/>
      <c r="D53" s="22"/>
    </row>
    <row r="54" spans="1:4" x14ac:dyDescent="0.35">
      <c r="A54" s="27" t="s">
        <v>73</v>
      </c>
      <c r="B54" s="27"/>
      <c r="C54" s="27"/>
      <c r="D54" s="28">
        <f>SUM(D17:D52)</f>
        <v>0</v>
      </c>
    </row>
    <row r="55" spans="1:4" x14ac:dyDescent="0.35">
      <c r="A55" s="66" t="s">
        <v>74</v>
      </c>
      <c r="B55" s="66"/>
      <c r="C55" s="66"/>
      <c r="D55" s="30"/>
    </row>
    <row r="56" spans="1:4" x14ac:dyDescent="0.35">
      <c r="A56" s="66" t="s">
        <v>75</v>
      </c>
      <c r="B56" s="66"/>
      <c r="C56" s="66"/>
      <c r="D56" s="30"/>
    </row>
    <row r="57" spans="1:4" x14ac:dyDescent="0.35">
      <c r="A57" s="27" t="s">
        <v>76</v>
      </c>
      <c r="B57" s="27"/>
      <c r="C57" s="66"/>
      <c r="D57" s="28">
        <f>SUM(D54:D56)</f>
        <v>0</v>
      </c>
    </row>
  </sheetData>
  <mergeCells count="13">
    <mergeCell ref="A17:C17"/>
    <mergeCell ref="C8:D8"/>
    <mergeCell ref="C9:D9"/>
    <mergeCell ref="C10:D10"/>
    <mergeCell ref="C11:D11"/>
    <mergeCell ref="C12:D12"/>
    <mergeCell ref="C13:D13"/>
    <mergeCell ref="C7:D7"/>
    <mergeCell ref="A1:D1"/>
    <mergeCell ref="C3:D3"/>
    <mergeCell ref="C4:D4"/>
    <mergeCell ref="C5:D5"/>
    <mergeCell ref="C6:D6"/>
  </mergeCells>
  <hyperlinks>
    <hyperlink ref="C6" r:id="rId1" display="Melissahelm2@gmail.com   oe" xr:uid="{35D09791-1850-414B-BC86-E78DBF3DC834}"/>
  </hyperlinks>
  <pageMargins left="0.25" right="0.25" top="0.75" bottom="0.75" header="0.3" footer="0.3"/>
  <pageSetup scale="89"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04b3ba-3720-4a3e-af81-d442d071bff5">
      <Terms xmlns="http://schemas.microsoft.com/office/infopath/2007/PartnerControls"/>
    </lcf76f155ced4ddcb4097134ff3c332f>
    <TaxCatchAll xmlns="d177e70d-dcef-4420-8fad-fee4ec43b0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EB14D2BE155A47BFBFE9E8F13E68DD" ma:contentTypeVersion="16" ma:contentTypeDescription="Create a new document." ma:contentTypeScope="" ma:versionID="5d46005a2369ace5b1dd634aef16d50e">
  <xsd:schema xmlns:xsd="http://www.w3.org/2001/XMLSchema" xmlns:xs="http://www.w3.org/2001/XMLSchema" xmlns:p="http://schemas.microsoft.com/office/2006/metadata/properties" xmlns:ns2="5a04b3ba-3720-4a3e-af81-d442d071bff5" xmlns:ns3="d177e70d-dcef-4420-8fad-fee4ec43b055" targetNamespace="http://schemas.microsoft.com/office/2006/metadata/properties" ma:root="true" ma:fieldsID="7d157f1d084c923692581706e22e543e" ns2:_="" ns3:_="">
    <xsd:import namespace="5a04b3ba-3720-4a3e-af81-d442d071bff5"/>
    <xsd:import namespace="d177e70d-dcef-4420-8fad-fee4ec43b0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4b3ba-3720-4a3e-af81-d442d071bf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1e85996-5d5e-46e3-aee9-ceab0e1afc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7e70d-dcef-4420-8fad-fee4ec43b0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ac8b4b2-cce1-4980-b4cb-889ab361180f}" ma:internalName="TaxCatchAll" ma:showField="CatchAllData" ma:web="d177e70d-dcef-4420-8fad-fee4ec43b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3036D2-E7A7-4223-B5C1-14BA37976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65696B-7AE3-46FD-8DF3-13522EC727BC}">
  <ds:schemaRefs>
    <ds:schemaRef ds:uri="http://schemas.microsoft.com/office/2006/metadata/properties"/>
    <ds:schemaRef ds:uri="http://schemas.microsoft.com/office/infopath/2007/PartnerControls"/>
    <ds:schemaRef ds:uri="5a04b3ba-3720-4a3e-af81-d442d071bff5"/>
    <ds:schemaRef ds:uri="d177e70d-dcef-4420-8fad-fee4ec43b055"/>
  </ds:schemaRefs>
</ds:datastoreItem>
</file>

<file path=customXml/itemProps3.xml><?xml version="1.0" encoding="utf-8"?>
<ds:datastoreItem xmlns:ds="http://schemas.openxmlformats.org/officeDocument/2006/customXml" ds:itemID="{1BE1929C-4903-4AF7-B2A4-66B7D8D2C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4b3ba-3720-4a3e-af81-d442d071bff5"/>
    <ds:schemaRef ds:uri="d177e70d-dcef-4420-8fad-fee4ec43b0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Version 1</vt:lpstr>
      <vt:lpstr>Version 2</vt:lpstr>
      <vt:lpstr>'Version 1'!Print_Area</vt:lpstr>
      <vt:lpstr>'Version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Rossi</dc:creator>
  <cp:keywords/>
  <dc:description/>
  <cp:lastModifiedBy>Jon Wolf</cp:lastModifiedBy>
  <cp:revision/>
  <cp:lastPrinted>2026-03-09T18:59:32Z</cp:lastPrinted>
  <dcterms:created xsi:type="dcterms:W3CDTF">2020-02-04T23:58:05Z</dcterms:created>
  <dcterms:modified xsi:type="dcterms:W3CDTF">2026-06-19T13:48:34Z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0x01010060EB14D2BE155A47BFBFE9E8F13E68DD</vt:lpwstr>
  </property>
  <property fmtid="{D5CDD505-2E9C-101B-9397-08002B2CF9AE}" pid="3" name="MediaServiceImageTags">
    <vt:lpwstr/>
  </property>
</Properties>
</file>